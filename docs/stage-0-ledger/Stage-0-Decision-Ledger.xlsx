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color rgb="00C00000"/>
    </font>
    <font>
      <i val="1"/>
      <color rgb="0080808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/>
    </xf>
    <xf numFmtId="0" fontId="2" fillId="3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0" borderId="0" pivotButton="0" quotePrefix="0" xfId="0"/>
    <xf numFmtId="0" fontId="6" fillId="5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4" customHeight="1">
      <c r="A1" s="1" t="inlineStr">
        <is>
          <t>STAGE 0 DECISION LEDGER - PRE-COMMITMENT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Thresholds pasted into this sheet header</t>
        </is>
      </c>
      <c r="B4" s="4" t="inlineStr">
        <is>
          <t>[ ] yes</t>
        </is>
      </c>
    </row>
    <row r="5">
      <c r="A5" s="3" t="inlineStr">
        <is>
          <t>Reading window</t>
        </is>
      </c>
      <c r="B5" s="4" t="inlineStr">
        <is>
          <t>~30-day rolling, minimum 10 engaged gen-0 recipients</t>
        </is>
      </c>
    </row>
    <row r="6">
      <c r="A6" s="3" t="inlineStr">
        <is>
          <t>KILL bound</t>
        </is>
      </c>
      <c r="B6" s="4" t="inlineStr">
        <is>
          <t>Upper 95% bound of gen-0 finish-to-send below ~15% OR zero verified propagation</t>
        </is>
      </c>
    </row>
    <row r="7">
      <c r="A7" s="3" t="inlineStr">
        <is>
          <t>ITERATE bound</t>
        </is>
      </c>
      <c r="B7" s="4" t="inlineStr">
        <is>
          <t>Tripwire alive but &lt;= 1 verified propagation (one round only)</t>
        </is>
      </c>
    </row>
    <row r="8">
      <c r="A8" s="3" t="inlineStr">
        <is>
          <t>CONTINUE bound</t>
        </is>
      </c>
      <c r="B8" s="4" t="inlineStr">
        <is>
          <t>&gt;= 2 independent verified organic-propagation events (2 distinct chains)</t>
        </is>
      </c>
    </row>
    <row r="9">
      <c r="A9" s="3" t="inlineStr">
        <is>
          <t>Committed by</t>
        </is>
      </c>
      <c r="B9" s="5" t="inlineStr"/>
    </row>
    <row r="10">
      <c r="A10" s="3" t="inlineStr">
        <is>
          <t>Committed at (UTC, BEFORE card #1)</t>
        </is>
      </c>
      <c r="B10" s="5" t="inlineStr"/>
    </row>
    <row r="11">
      <c r="A11" s="3" t="inlineStr">
        <is>
          <t>Card #1 shipped at (UTC)</t>
        </is>
      </c>
      <c r="B11" s="5" t="inlineStr"/>
    </row>
    <row r="13" ht="30" customHeight="1">
      <c r="A13" s="6" t="inlineStr">
        <is>
          <t>RULE: the commit timestamp MUST be earlier than the card #1 timestamp. If thresholds are edited after card #1 ships, the test is a KILL/pivot by default.</t>
        </is>
      </c>
    </row>
    <row r="15">
      <c r="A15" s="7" t="inlineStr">
        <is>
          <t>DECISION RULE (verbatim, pre-committed)</t>
        </is>
      </c>
    </row>
    <row r="16" ht="30" customHeight="1">
      <c r="A16" s="8" t="inlineStr">
        <is>
          <t>Read on day ~30 (rolling), minimum 10 engaged gen-0 recipients.</t>
        </is>
      </c>
    </row>
    <row r="17" ht="30" customHeight="1">
      <c r="A17" s="8" t="inlineStr">
        <is>
          <t>KILL if the upper 95% bound of gen-0 finish-to-send is below ~15% OR zero verified organic propagation.</t>
        </is>
      </c>
    </row>
    <row r="18" ht="30" customHeight="1">
      <c r="A18" s="8" t="inlineStr">
        <is>
          <t>ITERATE (one round only: change copy / CTA timing / recipient mix) if the tripwire is alive but there is &lt;= 1 verified propagation.</t>
        </is>
      </c>
    </row>
    <row r="19" ht="30" customHeight="1">
      <c r="A19" s="8" t="inlineStr">
        <is>
          <t>CONTINUE / start Stage 1 only if there are &gt;= 2 independent verified generational-propagation events (2 distinct chains, 2 distinct non-recruited people who each received AND requested their own card).</t>
        </is>
      </c>
    </row>
    <row r="20" ht="30" customHeight="1">
      <c r="A20" s="8" t="inlineStr">
        <is>
          <t>Secondary metrics are descriptive only. No re-defining success after seeing data. Max one ITERATE round, then a non-continue is a kill/pivot.</t>
        </is>
      </c>
    </row>
  </sheetData>
  <mergeCells count="8">
    <mergeCell ref="A20:B20"/>
    <mergeCell ref="A16:B16"/>
    <mergeCell ref="A15:B15"/>
    <mergeCell ref="A19:B19"/>
    <mergeCell ref="A13:B13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0" customWidth="1" min="3" max="3"/>
    <col width="11" customWidth="1" min="4" max="4"/>
    <col width="12" customWidth="1" min="5" max="5"/>
    <col width="16" customWidth="1" min="6" max="6"/>
    <col width="14" customWidth="1" min="7" max="7"/>
    <col width="13" customWidth="1" min="8" max="8"/>
    <col width="10" customWidth="1" min="9" max="9"/>
    <col width="14" customWidth="1" min="10" max="10"/>
    <col width="12" customWidth="1" min="11" max="11"/>
    <col width="9" customWidth="1" min="12" max="12"/>
    <col width="11" customWidth="1" min="13" max="13"/>
    <col width="13" customWidth="1" min="14" max="14"/>
    <col width="18" customWidth="1" min="15" max="15"/>
    <col width="18" customWidth="1" min="16" max="16"/>
    <col width="18" customWidth="1" min="17" max="17"/>
    <col width="16" customWidth="1" min="18" max="18"/>
    <col width="12" customWidth="1" min="19" max="19"/>
    <col width="14" customWidth="1" min="20" max="20"/>
    <col width="40" customWidth="1" min="21" max="21"/>
  </cols>
  <sheetData>
    <row r="1" ht="30" customHeight="1">
      <c r="A1" s="9" t="inlineStr">
        <is>
          <t>card_id</t>
        </is>
      </c>
      <c r="B1" s="9" t="inlineStr">
        <is>
          <t>gen</t>
        </is>
      </c>
      <c r="C1" s="9" t="inlineStr">
        <is>
          <t>channel</t>
        </is>
      </c>
      <c r="D1" s="9" t="inlineStr">
        <is>
          <t>arm</t>
        </is>
      </c>
      <c r="E1" s="9" t="inlineStr">
        <is>
          <t>tie_strength</t>
        </is>
      </c>
      <c r="F1" s="9" t="inlineStr">
        <is>
          <t>sender</t>
        </is>
      </c>
      <c r="G1" s="9" t="inlineStr">
        <is>
          <t>recipient</t>
        </is>
      </c>
      <c r="H1" s="9" t="inlineStr">
        <is>
          <t>relationship</t>
        </is>
      </c>
      <c r="I1" s="9" t="inlineStr">
        <is>
          <t>cohort</t>
        </is>
      </c>
      <c r="J1" s="9" t="inlineStr">
        <is>
          <t>occasion</t>
        </is>
      </c>
      <c r="K1" s="9" t="inlineStr">
        <is>
          <t>sent_at</t>
        </is>
      </c>
      <c r="L1" s="9" t="inlineStr">
        <is>
          <t>engaged</t>
        </is>
      </c>
      <c r="M1" s="9" t="inlineStr">
        <is>
          <t>cta_clicked</t>
        </is>
      </c>
      <c r="N1" s="9" t="inlineStr">
        <is>
          <t>requested_own</t>
        </is>
      </c>
      <c r="O1" s="9" t="inlineStr">
        <is>
          <t>request_card_id</t>
        </is>
      </c>
      <c r="P1" s="9" t="inlineStr">
        <is>
          <t>recipient_opened</t>
        </is>
      </c>
      <c r="Q1" s="9" t="inlineStr">
        <is>
          <t>verified_propagation</t>
        </is>
      </c>
      <c r="R1" s="9" t="inlineStr">
        <is>
          <t>who_sent_you</t>
        </is>
      </c>
      <c r="S1" s="9" t="inlineStr">
        <is>
          <t>gift_interest</t>
        </is>
      </c>
      <c r="T1" s="9" t="inlineStr">
        <is>
          <t>library_interest</t>
        </is>
      </c>
      <c r="U1" s="9" t="inlineStr">
        <is>
          <t>notes</t>
        </is>
      </c>
    </row>
    <row r="2">
      <c r="A2" s="10" t="inlineStr">
        <is>
          <t>EXAMPLE_delete_me</t>
        </is>
      </c>
      <c r="B2" s="10" t="n">
        <v>0</v>
      </c>
      <c r="C2" s="10" t="inlineStr">
        <is>
          <t>warm</t>
        </is>
      </c>
      <c r="D2" s="10" t="inlineStr">
        <is>
          <t>unprimed</t>
        </is>
      </c>
      <c r="E2" s="10" t="inlineStr">
        <is>
          <t>strong</t>
        </is>
      </c>
      <c r="F2" s="10" t="inlineStr">
        <is>
          <t>Alex (you)</t>
        </is>
      </c>
      <c r="G2" s="10" t="inlineStr">
        <is>
          <t>Mom</t>
        </is>
      </c>
      <c r="H2" s="10" t="inlineStr">
        <is>
          <t>parent</t>
        </is>
      </c>
      <c r="I2" s="10" t="inlineStr">
        <is>
          <t>college</t>
        </is>
      </c>
      <c r="J2" s="10" t="inlineStr">
        <is>
          <t>birthday</t>
        </is>
      </c>
      <c r="K2" s="10" t="inlineStr">
        <is>
          <t>2026-07-01</t>
        </is>
      </c>
      <c r="L2" s="10" t="inlineStr">
        <is>
          <t>Y</t>
        </is>
      </c>
      <c r="M2" s="10" t="inlineStr">
        <is>
          <t>Y</t>
        </is>
      </c>
      <c r="N2" s="10" t="inlineStr">
        <is>
          <t>N</t>
        </is>
      </c>
      <c r="O2" s="10" t="inlineStr"/>
      <c r="P2" s="10" t="inlineStr">
        <is>
          <t>Y (new device)</t>
        </is>
      </c>
      <c r="Q2" s="10" t="inlineStr">
        <is>
          <t>N</t>
        </is>
      </c>
      <c r="R2" s="10" t="inlineStr"/>
      <c r="S2" s="10" t="inlineStr">
        <is>
          <t>N</t>
        </is>
      </c>
      <c r="T2" s="10" t="inlineStr">
        <is>
          <t>Y</t>
        </is>
      </c>
      <c r="U2" s="10" t="inlineStr">
        <is>
          <t>Example row - DELETE this and all test cards before card #1</t>
        </is>
      </c>
    </row>
  </sheetData>
  <dataValidations count="13">
    <dataValidation sqref="B2:B300" showDropDown="0" showInputMessage="0" showErrorMessage="0" allowBlank="1" errorTitle="Invalid value" error="Pick from the list" type="list">
      <formula1>"0,1,2,3,4,5"</formula1>
    </dataValidation>
    <dataValidation sqref="C2:C300" showDropDown="0" showInputMessage="0" showErrorMessage="0" allowBlank="1" errorTitle="Invalid value" error="Pick from the list" type="list">
      <formula1>"warm,dm,cold"</formula1>
    </dataValidation>
    <dataValidation sqref="D2:D300" showDropDown="0" showInputMessage="0" showErrorMessage="0" allowBlank="1" errorTitle="Invalid value" error="Pick from the list" type="list">
      <formula1>"primed,unprimed,friction"</formula1>
    </dataValidation>
    <dataValidation sqref="E2:E300" showDropDown="0" showInputMessage="0" showErrorMessage="0" allowBlank="1" errorTitle="Invalid value" error="Pick from the list" type="list">
      <formula1>"strong,weak"</formula1>
    </dataValidation>
    <dataValidation sqref="H2:H300" showDropDown="0" showInputMessage="0" showErrorMessage="0" allowBlank="1" errorTitle="Invalid value" error="Pick from the list" type="list">
      <formula1>"partner,parent,family,friend,other"</formula1>
    </dataValidation>
    <dataValidation sqref="I2:I300" showDropDown="0" showInputMessage="0" showErrorMessage="0" allowBlank="1" errorTitle="Invalid value" error="Pick from the list" type="list">
      <formula1>"couples,college"</formula1>
    </dataValidation>
    <dataValidation sqref="J2:J300" showDropDown="0" showInputMessage="0" showErrorMessage="0" allowBlank="1" errorTitle="Invalid value" error="Pick from the list" type="list">
      <formula1>"justBecause,thinkingOfYou,birthday"</formula1>
    </dataValidation>
    <dataValidation sqref="L2:L300" showDropDown="0" showInputMessage="0" showErrorMessage="0" allowBlank="1" errorTitle="Invalid value" error="Pick from the list" type="list">
      <formula1>"Y,N"</formula1>
    </dataValidation>
    <dataValidation sqref="M2:M300" showDropDown="0" showInputMessage="0" showErrorMessage="0" allowBlank="1" errorTitle="Invalid value" error="Pick from the list" type="list">
      <formula1>"Y,N"</formula1>
    </dataValidation>
    <dataValidation sqref="N2:N300" showDropDown="0" showInputMessage="0" showErrorMessage="0" allowBlank="1" errorTitle="Invalid value" error="Pick from the list" type="list">
      <formula1>"Y,N"</formula1>
    </dataValidation>
    <dataValidation sqref="Q2:Q300" showDropDown="0" showInputMessage="0" showErrorMessage="0" allowBlank="1" errorTitle="Invalid value" error="Pick from the list" type="list">
      <formula1>"Y,N"</formula1>
    </dataValidation>
    <dataValidation sqref="S2:S300" showDropDown="0" showInputMessage="0" showErrorMessage="0" allowBlank="1" errorTitle="Invalid value" error="Pick from the list" type="list">
      <formula1>"Y,N"</formula1>
    </dataValidation>
    <dataValidation sqref="T2:T300" showDropDown="0" showInputMessage="0" showErrorMessage="0" allowBlank="1" errorTitle="Invalid value" error="Pick from the list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48" customWidth="1" min="3" max="3"/>
  </cols>
  <sheetData>
    <row r="1" ht="24" customHeight="1">
      <c r="A1" s="1" t="inlineStr">
        <is>
          <t>STAGE 0 - LIVE DECISION DASHBOARD (computed from the Ledger tab)</t>
        </is>
      </c>
    </row>
    <row r="3">
      <c r="A3" s="11" t="inlineStr">
        <is>
          <t>Metric</t>
        </is>
      </c>
      <c r="B3" s="11" t="inlineStr">
        <is>
          <t>Value</t>
        </is>
      </c>
      <c r="C3" s="11" t="inlineStr">
        <is>
          <t>Rule / note</t>
        </is>
      </c>
    </row>
    <row r="4">
      <c r="A4" s="12" t="inlineStr">
        <is>
          <t>Engaged gen-0 recipients (denominator)</t>
        </is>
      </c>
      <c r="B4" s="13">
        <f>COUNTIFS(Ledger!$B:$B,0,Ledger!$L:$L,"Y")</f>
        <v/>
      </c>
      <c r="C4" s="4" t="inlineStr">
        <is>
          <t>Need &gt;= 10 before the rule may be read</t>
        </is>
      </c>
    </row>
    <row r="5">
      <c r="A5" s="12" t="inlineStr">
        <is>
          <t>gen-0 engaged who sent their own (requested_own=Y)</t>
        </is>
      </c>
      <c r="B5" s="13">
        <f>COUNTIFS(Ledger!$B:$B,0,Ledger!$L:$L,"Y",Ledger!$N:$N,"Y")</f>
        <v/>
      </c>
      <c r="C5" s="4" t="inlineStr">
        <is>
          <t>Numerator of finish-to-send</t>
        </is>
      </c>
    </row>
    <row r="6">
      <c r="A6" s="12" t="inlineStr">
        <is>
          <t>gen-0 finish-to-send rate (point)</t>
        </is>
      </c>
      <c r="B6" s="14">
        <f>IF(B4=0,"n/a",B5/B4)</f>
        <v/>
      </c>
      <c r="C6" s="4" t="inlineStr">
        <is>
          <t>Descriptive only, do NOT decide on this</t>
        </is>
      </c>
    </row>
    <row r="7">
      <c r="A7" s="12" t="inlineStr">
        <is>
          <t>gen-0 finish-to-send UPPER 95% bound (Wilson)</t>
        </is>
      </c>
      <c r="B7" s="14">
        <f>IF(B4=0,"n/a",(B5/B4+1.96^2/(2*B4)+1.96*SQRT((B5/B4)*(1-B5/B4)/B4+1.96^2/(4*B4^2)))/(1+1.96^2/B4))</f>
        <v/>
      </c>
      <c r="C7" s="4" t="inlineStr">
        <is>
          <t>KILL if this is below 0.15</t>
        </is>
      </c>
    </row>
    <row r="8">
      <c r="A8" s="12" t="inlineStr">
        <is>
          <t>Raw verified_propagation = Y rows</t>
        </is>
      </c>
      <c r="B8" s="13">
        <f>COUNTIF(Ledger!$Q:$Q,"Y")</f>
        <v/>
      </c>
      <c r="C8" s="4" t="inlineStr">
        <is>
          <t>Upper bound on the number of chains</t>
        </is>
      </c>
    </row>
    <row r="9">
      <c r="A9" s="12" t="inlineStr">
        <is>
          <t>Distinct verified chains (MANUAL)</t>
        </is>
      </c>
      <c r="B9" s="15" t="n">
        <v>0</v>
      </c>
      <c r="C9" s="4" t="inlineStr">
        <is>
          <t>Walk request_card_id back to a gen-0 card; count DISTINCT senders. CONTINUE needs &gt;= 2</t>
        </is>
      </c>
    </row>
    <row r="11">
      <c r="A11" s="16" t="inlineStr">
        <is>
          <t>VERDICT</t>
        </is>
      </c>
      <c r="B11" s="17">
        <f>IF(B4&lt;10,"KEEP RECRUITING (n&lt;10)",IF(B9&gt;=2,"CONTINUE / start Stage 1",IF(OR(B8=0,B7&lt;0.15),"KILL","ITERATE (one round only)")))</f>
        <v/>
      </c>
      <c r="C11" s="8" t="inlineStr">
        <is>
          <t>Computed mechanically from the cells above</t>
        </is>
      </c>
    </row>
    <row r="12">
      <c r="A12" s="18" t="inlineStr">
        <is>
          <t>Conflict flag</t>
        </is>
      </c>
      <c r="B12" s="19">
        <f>IF(AND(B9&gt;=2,B7&lt;0.15),"CONFLICT - read the rule by hand","none")</f>
        <v/>
      </c>
      <c r="C12" s="8" t="inlineStr">
        <is>
          <t>2+ chains but the kill bound tripped (rare)</t>
        </is>
      </c>
    </row>
    <row r="14">
      <c r="A14" s="18" t="inlineStr">
        <is>
          <t>Note</t>
        </is>
      </c>
      <c r="B14" s="8" t="inlineStr">
        <is>
          <t>Delete the EXAMPLE row and every test card from the Ledger before card #1, or these counts start wrong.</t>
        </is>
      </c>
    </row>
  </sheetData>
  <mergeCells count="2">
    <mergeCell ref="A1:C1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2026-06-30T18:09:48Z</dcterms:created>
  <dcterms:modified xmlns:dcterms="http://purl.org/dc/terms/" xmlns:xsi="http://www.w3.org/2001/XMLSchema-instance" xsi:type="dcterms:W3CDTF">2026-06-30T18:09:48Z</dcterms:modified>
</cp:coreProperties>
</file>